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240" windowWidth="19200" windowHeight="6660"/>
  </bookViews>
  <sheets>
    <sheet name="20260107 RAB Rapat 087B" sheetId="14" r:id="rId1"/>
    <sheet name="RAB Rapat Biasa APBN" sheetId="1" r:id="rId2"/>
  </sheets>
  <definedNames>
    <definedName name="_xlnm.Print_Area" localSheetId="0">'20260107 RAB Rapat 087B'!$A$1:$R$52</definedName>
    <definedName name="_xlnm.Print_Area" localSheetId="1">'RAB Rapat Biasa APBN'!$A$1:$R$53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2" i="14" l="1"/>
  <c r="H21" i="14"/>
  <c r="H20" i="14"/>
  <c r="H19" i="14"/>
  <c r="H18" i="14"/>
  <c r="H17" i="14"/>
  <c r="A17" i="14"/>
  <c r="A18" i="14" s="1"/>
  <c r="A19" i="14" s="1"/>
  <c r="A20" i="14" s="1"/>
  <c r="A21" i="14" s="1"/>
  <c r="H14" i="14"/>
  <c r="A14" i="14"/>
  <c r="H13" i="14"/>
  <c r="A13" i="14"/>
  <c r="K13" i="14" l="1"/>
  <c r="K22" i="14" s="1"/>
  <c r="H22" i="14"/>
  <c r="K17" i="14"/>
  <c r="K21" i="14"/>
  <c r="K18" i="14"/>
  <c r="J14" i="14"/>
  <c r="K14" i="14" s="1"/>
  <c r="J17" i="14"/>
  <c r="J18" i="14"/>
  <c r="J19" i="14"/>
  <c r="K19" i="14" s="1"/>
  <c r="J20" i="14"/>
  <c r="K20" i="14" s="1"/>
  <c r="J21" i="14"/>
  <c r="J22" i="1" l="1"/>
  <c r="H21" i="1"/>
  <c r="H20" i="1"/>
  <c r="H19" i="1"/>
  <c r="H18" i="1"/>
  <c r="H17" i="1"/>
  <c r="A17" i="1"/>
  <c r="A18" i="1" s="1"/>
  <c r="A19" i="1" s="1"/>
  <c r="A20" i="1" s="1"/>
  <c r="A21" i="1" s="1"/>
  <c r="H14" i="1"/>
  <c r="K13" i="1"/>
  <c r="K22" i="1" s="1"/>
  <c r="A13" i="1"/>
  <c r="A14" i="1" s="1"/>
  <c r="H22" i="1" l="1"/>
  <c r="J14" i="1"/>
  <c r="K14" i="1" s="1"/>
  <c r="J18" i="1"/>
  <c r="K18" i="1" s="1"/>
  <c r="J20" i="1"/>
  <c r="K20" i="1" s="1"/>
  <c r="J17" i="1"/>
  <c r="K17" i="1" s="1"/>
  <c r="J19" i="1"/>
  <c r="K19" i="1" s="1"/>
  <c r="J21" i="1"/>
  <c r="K21" i="1" s="1"/>
</calcChain>
</file>

<file path=xl/sharedStrings.xml><?xml version="1.0" encoding="utf-8"?>
<sst xmlns="http://schemas.openxmlformats.org/spreadsheetml/2006/main" count="169" uniqueCount="86">
  <si>
    <t xml:space="preserve">RAB RAPAT BIASA </t>
  </si>
  <si>
    <t>Judul Rapat</t>
  </si>
  <si>
    <t>:</t>
  </si>
  <si>
    <t>Waktu Pelaksanaan</t>
  </si>
  <si>
    <t>Tempat Pelaksanaan</t>
  </si>
  <si>
    <t>Sumber Kegiatan (DIPA)</t>
  </si>
  <si>
    <t>Jenis Kegiatan</t>
  </si>
  <si>
    <t>Akun yang digunakan</t>
  </si>
  <si>
    <t>NO</t>
  </si>
  <si>
    <t>Akun</t>
  </si>
  <si>
    <t>Uraian Kebutuhan</t>
  </si>
  <si>
    <t>Volume Kegiatan</t>
  </si>
  <si>
    <t>Biaya Satuan</t>
  </si>
  <si>
    <t>Jumlah Kebutuhan</t>
  </si>
  <si>
    <t>Potongan 50%</t>
  </si>
  <si>
    <t>Pajak</t>
  </si>
  <si>
    <t>Jumlah Kebutuhan pasca pajak</t>
  </si>
  <si>
    <t>Keterangan</t>
  </si>
  <si>
    <t>Surat Undangan</t>
  </si>
  <si>
    <t>Materi</t>
  </si>
  <si>
    <t>Notulen</t>
  </si>
  <si>
    <t>Absen</t>
  </si>
  <si>
    <t>Belanja bahan</t>
  </si>
  <si>
    <t>-</t>
  </si>
  <si>
    <t>Belanja Jasa Profesi</t>
  </si>
  <si>
    <t>Belanja Perjalanan Dinas Dalam Kota</t>
  </si>
  <si>
    <t>Belanja Perjalanan Dinas Paket Meeting Dalam Kota</t>
  </si>
  <si>
    <t>TOTAL</t>
  </si>
  <si>
    <t>Belum dipotong pajak</t>
  </si>
  <si>
    <t>Sesuai Golongan</t>
  </si>
  <si>
    <t>Keterangan :</t>
  </si>
  <si>
    <t>1.</t>
  </si>
  <si>
    <t>Tanda bintang * boleh coret salah satu, nilai biaya satuan biaya konsumsi dapat berbeda untuk setiap kegiatan (maksimal sesuai SBM)</t>
  </si>
  <si>
    <t>2.</t>
  </si>
  <si>
    <t>Tanda bintang ** biaya satuan disesuaikan dengan jumlah volume (diatur oleh Kasubdit &amp; BPP), karena ada mesin  fotokopi dalam kantor (kecuali FC di luar komponen Ditjalpem)</t>
  </si>
  <si>
    <t>3.</t>
  </si>
  <si>
    <t>Surat tugas dari eselon 2 khusus untuk Rapat Dalam Kantor yang dilaksanakan di luar jam kerja</t>
  </si>
  <si>
    <t>4.</t>
  </si>
  <si>
    <t xml:space="preserve">RAB dapat dibuat oleh staf atau kasi yang bersangkutan, tetapi sebagai pemohon adalah kepala seksinya </t>
  </si>
  <si>
    <t>5.</t>
  </si>
  <si>
    <t>RAB ditandatangani oleh kepala seksi, kepala subdit dan PPK sebelum diajukan ke bendahara pengeluaran pembantu (BPP) komponen</t>
  </si>
  <si>
    <t>6.</t>
  </si>
  <si>
    <t>Realisasi dan Pembayaran RAB tidak harus sama, karena harus memperhatikan pajak (PPN 10%, PPh 23 sebesar 2%, 5%,10%, 15%, atau PPh 22 sebesar 1,5%, dhi BPP melapor ke PPK terlebih dahulu)</t>
  </si>
  <si>
    <t>7.</t>
  </si>
  <si>
    <t>Selama ada BPP di tempat kegiatan pembayaran dilakukan oleh BPP</t>
  </si>
  <si>
    <t>8.</t>
  </si>
  <si>
    <t>Apabila BPP tidak ada di tempat pembayaran dapat dilaksanakan oleh pelaksana sepengetahuan BPP</t>
  </si>
  <si>
    <t>9.</t>
  </si>
  <si>
    <t>Semua kegiatan harus ada dokumentasinya (Foto kegiatan)</t>
  </si>
  <si>
    <t>Pemohon,</t>
  </si>
  <si>
    <t>Mengetahui,</t>
  </si>
  <si>
    <t>Menyetujui,</t>
  </si>
  <si>
    <t xml:space="preserve">Pejabat Pembuat Komitmen </t>
  </si>
  <si>
    <t>Direktorat Bina Akses Pelayanan KB</t>
  </si>
  <si>
    <t>dr. Ari Widiastuti</t>
  </si>
  <si>
    <t>Direktur Bina Akses Pelayanan KB</t>
  </si>
  <si>
    <t>dr. Ruri Mutia Ichwan</t>
  </si>
  <si>
    <t>Jakarta, ………………………………...…2025</t>
  </si>
  <si>
    <t>Ketua Tim Kerja ……………..</t>
  </si>
  <si>
    <t>068.01……………………………………</t>
  </si>
  <si>
    <t>………………………………………………………………….</t>
  </si>
  <si>
    <t>…………………………., ………………………………………….</t>
  </si>
  <si>
    <t>……………………………………………………………………………………..</t>
  </si>
  <si>
    <t>………………………………………………………………….……………………………</t>
  </si>
  <si>
    <t>Surat Tugas*</t>
  </si>
  <si>
    <t>* dari PTP atau PTM</t>
  </si>
  <si>
    <t>** bentuk SPJ : Kuitansi Konsumsi &amp; Snack (sudah termasuk ongkir)</t>
  </si>
  <si>
    <t>(………………………………………)</t>
  </si>
  <si>
    <t>DIREKTORAT BINA AKSES PELAYANAN KB</t>
  </si>
  <si>
    <t>SATUAN KERJA DEPUTI BIDANG BINA KELUARGA BERENCANA DAN KESEHATAN REPRODUKSI</t>
  </si>
  <si>
    <t>Rapat Biasa (Offline)</t>
  </si>
  <si>
    <t>Snack</t>
  </si>
  <si>
    <t>Konsumsi</t>
  </si>
  <si>
    <t>Kelengkapan Berkas SPJ</t>
  </si>
  <si>
    <t xml:space="preserve">Kuitansi </t>
  </si>
  <si>
    <t>Ruang Rapat Ditsesyan</t>
  </si>
  <si>
    <t>√</t>
  </si>
  <si>
    <t>dr. Ruri Mutia Ichwan, M.K.M.</t>
  </si>
  <si>
    <t>KAK</t>
  </si>
  <si>
    <t>Rapat Pemantauan Ketersediaan Alat dan Obat Kontrasepsi</t>
  </si>
  <si>
    <t>Jumat, 30 Januari 2026</t>
  </si>
  <si>
    <t>Pemantauan dan Evaluasi Pembinaan Akses Pelayanan KB (089 B)</t>
  </si>
  <si>
    <t>Belanja Bahan 068.01.649505.3316.FAE.001.089.B.521211</t>
  </si>
  <si>
    <t>Ketua Tim Kerja Fasilitasi Dukungan Manajemen</t>
  </si>
  <si>
    <t>Jakarta, 29 Januari 2026</t>
  </si>
  <si>
    <t>Irmiyanti Kusumastuti,SE,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</si>
</sst>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4"/>
      <name val="Arial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43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1"/>
    <xf numFmtId="0" fontId="2" fillId="0" borderId="0" xfId="1" applyBorder="1"/>
    <xf numFmtId="0" fontId="4" fillId="0" borderId="0" xfId="1" applyFont="1"/>
    <xf numFmtId="0" fontId="5" fillId="0" borderId="0" xfId="1" applyFont="1"/>
    <xf numFmtId="0" fontId="5" fillId="0" borderId="0" xfId="1" applyFont="1" applyBorder="1"/>
    <xf numFmtId="0" fontId="4" fillId="0" borderId="0" xfId="1" applyFont="1" applyBorder="1"/>
    <xf numFmtId="0" fontId="4" fillId="0" borderId="0" xfId="1" applyFont="1" applyAlignment="1">
      <alignment horizontal="center"/>
    </xf>
    <xf numFmtId="0" fontId="4" fillId="0" borderId="0" xfId="1" applyFont="1" applyBorder="1" applyAlignment="1"/>
    <xf numFmtId="0" fontId="5" fillId="0" borderId="0" xfId="1" applyFont="1" applyAlignment="1"/>
    <xf numFmtId="0" fontId="6" fillId="0" borderId="0" xfId="0" applyFont="1"/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vertical="top" wrapText="1"/>
    </xf>
    <xf numFmtId="0" fontId="5" fillId="0" borderId="3" xfId="1" applyFont="1" applyBorder="1" applyAlignment="1">
      <alignment vertical="top" wrapText="1"/>
    </xf>
    <xf numFmtId="0" fontId="5" fillId="0" borderId="2" xfId="1" applyFont="1" applyBorder="1" applyAlignment="1">
      <alignment vertical="top"/>
    </xf>
    <xf numFmtId="0" fontId="5" fillId="0" borderId="3" xfId="1" applyFont="1" applyBorder="1" applyAlignment="1">
      <alignment vertical="top"/>
    </xf>
    <xf numFmtId="164" fontId="7" fillId="0" borderId="10" xfId="2" applyNumberFormat="1" applyFont="1" applyBorder="1" applyAlignment="1">
      <alignment vertical="top"/>
    </xf>
    <xf numFmtId="164" fontId="7" fillId="0" borderId="10" xfId="2" quotePrefix="1" applyNumberFormat="1" applyFont="1" applyBorder="1" applyAlignment="1">
      <alignment horizontal="right" vertical="top"/>
    </xf>
    <xf numFmtId="164" fontId="8" fillId="0" borderId="10" xfId="2" applyNumberFormat="1" applyFont="1" applyBorder="1" applyAlignment="1">
      <alignment horizontal="center" vertical="top"/>
    </xf>
    <xf numFmtId="164" fontId="7" fillId="0" borderId="10" xfId="2" applyNumberFormat="1" applyFont="1" applyBorder="1" applyAlignment="1">
      <alignment horizontal="center" vertical="top"/>
    </xf>
    <xf numFmtId="0" fontId="5" fillId="0" borderId="10" xfId="1" applyFont="1" applyBorder="1" applyAlignment="1">
      <alignment vertical="top" wrapText="1"/>
    </xf>
    <xf numFmtId="0" fontId="5" fillId="0" borderId="0" xfId="1" applyFont="1" applyAlignment="1">
      <alignment vertical="top"/>
    </xf>
    <xf numFmtId="164" fontId="7" fillId="0" borderId="0" xfId="2" applyNumberFormat="1" applyFont="1" applyAlignment="1">
      <alignment vertical="top"/>
    </xf>
    <xf numFmtId="0" fontId="5" fillId="0" borderId="10" xfId="1" applyFont="1" applyBorder="1" applyAlignment="1">
      <alignment horizontal="center" vertical="top"/>
    </xf>
    <xf numFmtId="0" fontId="5" fillId="0" borderId="4" xfId="1" applyFont="1" applyBorder="1" applyAlignment="1">
      <alignment vertical="top" wrapText="1"/>
    </xf>
    <xf numFmtId="0" fontId="5" fillId="0" borderId="5" xfId="1" applyFont="1" applyBorder="1" applyAlignment="1">
      <alignment vertical="top" wrapText="1"/>
    </xf>
    <xf numFmtId="0" fontId="5" fillId="0" borderId="4" xfId="1" applyFont="1" applyBorder="1" applyAlignment="1">
      <alignment vertical="top"/>
    </xf>
    <xf numFmtId="0" fontId="5" fillId="0" borderId="6" xfId="1" applyFont="1" applyBorder="1" applyAlignment="1">
      <alignment vertical="top"/>
    </xf>
    <xf numFmtId="165" fontId="7" fillId="0" borderId="10" xfId="2" applyNumberFormat="1" applyFont="1" applyBorder="1" applyAlignment="1">
      <alignment vertical="top"/>
    </xf>
    <xf numFmtId="0" fontId="5" fillId="0" borderId="5" xfId="1" applyFont="1" applyBorder="1" applyAlignment="1">
      <alignment vertical="top"/>
    </xf>
    <xf numFmtId="164" fontId="9" fillId="0" borderId="10" xfId="2" applyNumberFormat="1" applyFont="1" applyBorder="1" applyAlignment="1">
      <alignment horizontal="center" vertical="top"/>
    </xf>
    <xf numFmtId="0" fontId="5" fillId="0" borderId="7" xfId="1" applyFont="1" applyBorder="1" applyAlignment="1">
      <alignment vertical="top" wrapText="1"/>
    </xf>
    <xf numFmtId="164" fontId="7" fillId="0" borderId="10" xfId="2" applyNumberFormat="1" applyFont="1" applyBorder="1"/>
    <xf numFmtId="164" fontId="4" fillId="0" borderId="10" xfId="2" applyNumberFormat="1" applyFont="1" applyBorder="1" applyAlignment="1">
      <alignment horizontal="center"/>
    </xf>
    <xf numFmtId="0" fontId="4" fillId="0" borderId="10" xfId="1" applyFont="1" applyBorder="1"/>
    <xf numFmtId="0" fontId="4" fillId="0" borderId="0" xfId="1" applyFont="1" applyBorder="1" applyAlignment="1">
      <alignment horizontal="center" vertical="top"/>
    </xf>
    <xf numFmtId="164" fontId="4" fillId="0" borderId="0" xfId="2" applyNumberFormat="1" applyFont="1" applyBorder="1" applyAlignment="1">
      <alignment horizontal="center" vertical="top"/>
    </xf>
    <xf numFmtId="164" fontId="10" fillId="0" borderId="0" xfId="2" applyNumberFormat="1" applyFont="1" applyFill="1" applyBorder="1" applyAlignment="1">
      <alignment horizontal="center" vertical="top" wrapText="1"/>
    </xf>
    <xf numFmtId="164" fontId="4" fillId="0" borderId="0" xfId="2" applyNumberFormat="1" applyFont="1" applyBorder="1" applyAlignment="1">
      <alignment horizontal="center" vertical="top" wrapText="1"/>
    </xf>
    <xf numFmtId="0" fontId="4" fillId="0" borderId="0" xfId="1" applyFont="1" applyAlignment="1">
      <alignment horizontal="center" vertical="top"/>
    </xf>
    <xf numFmtId="0" fontId="4" fillId="0" borderId="0" xfId="1" applyFont="1" applyBorder="1" applyAlignment="1">
      <alignment horizontal="center"/>
    </xf>
    <xf numFmtId="164" fontId="4" fillId="0" borderId="0" xfId="2" applyNumberFormat="1" applyFont="1" applyBorder="1"/>
    <xf numFmtId="0" fontId="5" fillId="0" borderId="0" xfId="1" applyFont="1" applyAlignment="1">
      <alignment horizontal="center"/>
    </xf>
    <xf numFmtId="0" fontId="5" fillId="0" borderId="0" xfId="1" applyFont="1" applyAlignment="1">
      <alignment horizontal="center" vertical="top"/>
    </xf>
    <xf numFmtId="0" fontId="5" fillId="0" borderId="0" xfId="1" applyFont="1" applyAlignment="1">
      <alignment horizontal="left" vertical="top"/>
    </xf>
    <xf numFmtId="0" fontId="5" fillId="0" borderId="0" xfId="1" applyFont="1" applyBorder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164" fontId="4" fillId="0" borderId="0" xfId="1" applyNumberFormat="1" applyFont="1" applyAlignment="1">
      <alignment vertical="top"/>
    </xf>
    <xf numFmtId="164" fontId="4" fillId="0" borderId="0" xfId="1" applyNumberFormat="1" applyFont="1"/>
    <xf numFmtId="41" fontId="5" fillId="0" borderId="0" xfId="3" applyFont="1"/>
    <xf numFmtId="0" fontId="5" fillId="0" borderId="0" xfId="1" quotePrefix="1" applyFont="1"/>
    <xf numFmtId="164" fontId="5" fillId="0" borderId="0" xfId="1" applyNumberFormat="1" applyFont="1" applyAlignment="1"/>
    <xf numFmtId="164" fontId="5" fillId="0" borderId="0" xfId="1" applyNumberFormat="1" applyFont="1" applyBorder="1" applyAlignment="1"/>
    <xf numFmtId="0" fontId="5" fillId="0" borderId="0" xfId="1" applyFont="1" applyBorder="1" applyAlignment="1">
      <alignment horizontal="right"/>
    </xf>
    <xf numFmtId="164" fontId="7" fillId="0" borderId="0" xfId="2" applyNumberFormat="1" applyFont="1"/>
    <xf numFmtId="0" fontId="5" fillId="0" borderId="0" xfId="1" applyFont="1" applyAlignment="1">
      <alignment horizontal="left"/>
    </xf>
    <xf numFmtId="0" fontId="11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164" fontId="12" fillId="0" borderId="10" xfId="2" applyNumberFormat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164" fontId="2" fillId="0" borderId="0" xfId="4" applyNumberFormat="1" applyFont="1" applyBorder="1"/>
    <xf numFmtId="164" fontId="2" fillId="0" borderId="0" xfId="1" applyNumberFormat="1" applyBorder="1"/>
    <xf numFmtId="10" fontId="2" fillId="0" borderId="0" xfId="5" applyNumberFormat="1" applyFont="1" applyBorder="1"/>
    <xf numFmtId="0" fontId="4" fillId="0" borderId="4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</cellXfs>
  <cellStyles count="6">
    <cellStyle name="Comma" xfId="4" builtinId="3"/>
    <cellStyle name="Comma [0] 2" xfId="3"/>
    <cellStyle name="Comma 2" xfId="2"/>
    <cellStyle name="Normal" xfId="0" builtinId="0"/>
    <cellStyle name="Normal 3" xfId="1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2"/>
  <sheetViews>
    <sheetView tabSelected="1" zoomScale="60" zoomScaleNormal="60" workbookViewId="0">
      <selection activeCell="I59" sqref="I59"/>
    </sheetView>
  </sheetViews>
  <sheetFormatPr defaultColWidth="9.140625" defaultRowHeight="12.75" x14ac:dyDescent="0.2"/>
  <cols>
    <col min="1" max="1" width="3.7109375" style="1" customWidth="1"/>
    <col min="2" max="2" width="13.5703125" style="1" customWidth="1"/>
    <col min="3" max="3" width="18.140625" style="2" customWidth="1"/>
    <col min="4" max="4" width="2.7109375" style="1" customWidth="1"/>
    <col min="5" max="5" width="34" style="2" customWidth="1"/>
    <col min="6" max="6" width="11.85546875" style="1" customWidth="1"/>
    <col min="7" max="7" width="13" style="1" customWidth="1"/>
    <col min="8" max="9" width="14.5703125" style="1" customWidth="1"/>
    <col min="10" max="10" width="15.140625" style="1" customWidth="1"/>
    <col min="11" max="11" width="19.140625" style="1" customWidth="1"/>
    <col min="12" max="12" width="12.42578125" style="1" customWidth="1"/>
    <col min="13" max="13" width="11.85546875" style="1" customWidth="1"/>
    <col min="14" max="14" width="8.5703125" style="1" customWidth="1"/>
    <col min="15" max="15" width="11.140625" style="1" customWidth="1"/>
    <col min="16" max="16" width="9.42578125" style="1" customWidth="1"/>
    <col min="17" max="17" width="10.42578125" style="1" customWidth="1"/>
    <col min="18" max="18" width="19.42578125" style="1" customWidth="1"/>
    <col min="19" max="19" width="3" style="1" customWidth="1"/>
    <col min="20" max="20" width="9.140625" style="1"/>
    <col min="21" max="22" width="13.5703125" style="1" customWidth="1"/>
    <col min="23" max="23" width="12.5703125" style="1" customWidth="1"/>
    <col min="24" max="16384" width="9.140625" style="1"/>
  </cols>
  <sheetData>
    <row r="1" spans="1:23" s="4" customFormat="1" ht="18" x14ac:dyDescent="0.4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23" s="4" customFormat="1" ht="18" x14ac:dyDescent="0.4">
      <c r="A2" s="70" t="s">
        <v>68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23" s="4" customFormat="1" ht="18" x14ac:dyDescent="0.4">
      <c r="A3" s="70" t="s">
        <v>69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23" s="4" customFormat="1" ht="18" x14ac:dyDescent="0.4">
      <c r="A4" s="59"/>
      <c r="C4" s="5"/>
      <c r="E4" s="5"/>
    </row>
    <row r="5" spans="1:23" s="4" customFormat="1" ht="20.25" customHeight="1" x14ac:dyDescent="0.25">
      <c r="A5" s="3" t="s">
        <v>1</v>
      </c>
      <c r="B5" s="3"/>
      <c r="C5" s="6"/>
      <c r="D5" s="7" t="s">
        <v>2</v>
      </c>
      <c r="E5" s="8" t="s">
        <v>79</v>
      </c>
      <c r="F5" s="9"/>
    </row>
    <row r="6" spans="1:23" s="4" customFormat="1" ht="15.75" x14ac:dyDescent="0.25">
      <c r="A6" s="3" t="s">
        <v>3</v>
      </c>
      <c r="B6" s="3"/>
      <c r="C6" s="6"/>
      <c r="D6" s="7" t="s">
        <v>2</v>
      </c>
      <c r="E6" s="6" t="s">
        <v>80</v>
      </c>
    </row>
    <row r="7" spans="1:23" s="4" customFormat="1" ht="15.75" x14ac:dyDescent="0.25">
      <c r="A7" s="3" t="s">
        <v>4</v>
      </c>
      <c r="B7" s="3"/>
      <c r="C7" s="6"/>
      <c r="D7" s="7" t="s">
        <v>2</v>
      </c>
      <c r="E7" s="6" t="s">
        <v>75</v>
      </c>
    </row>
    <row r="8" spans="1:23" s="4" customFormat="1" ht="15.75" x14ac:dyDescent="0.25">
      <c r="A8" s="3" t="s">
        <v>5</v>
      </c>
      <c r="B8" s="3"/>
      <c r="C8" s="6"/>
      <c r="D8" s="7" t="s">
        <v>2</v>
      </c>
      <c r="E8" s="10" t="s">
        <v>81</v>
      </c>
    </row>
    <row r="9" spans="1:23" s="4" customFormat="1" ht="15.6" x14ac:dyDescent="0.35">
      <c r="A9" s="3" t="s">
        <v>6</v>
      </c>
      <c r="B9" s="3"/>
      <c r="C9" s="6"/>
      <c r="D9" s="7" t="s">
        <v>2</v>
      </c>
      <c r="E9" s="6" t="s">
        <v>70</v>
      </c>
    </row>
    <row r="10" spans="1:23" s="4" customFormat="1" ht="16.5" customHeight="1" x14ac:dyDescent="0.25">
      <c r="A10" s="3" t="s">
        <v>7</v>
      </c>
      <c r="B10" s="3"/>
      <c r="C10" s="6"/>
      <c r="D10" s="7" t="s">
        <v>2</v>
      </c>
      <c r="E10" s="6" t="s">
        <v>82</v>
      </c>
    </row>
    <row r="11" spans="1:23" s="11" customFormat="1" ht="23.45" customHeight="1" x14ac:dyDescent="0.25">
      <c r="A11" s="71" t="s">
        <v>8</v>
      </c>
      <c r="B11" s="73" t="s">
        <v>9</v>
      </c>
      <c r="C11" s="74"/>
      <c r="D11" s="73" t="s">
        <v>10</v>
      </c>
      <c r="E11" s="74"/>
      <c r="F11" s="77" t="s">
        <v>11</v>
      </c>
      <c r="G11" s="77" t="s">
        <v>12</v>
      </c>
      <c r="H11" s="77" t="s">
        <v>13</v>
      </c>
      <c r="I11" s="77" t="s">
        <v>14</v>
      </c>
      <c r="J11" s="77" t="s">
        <v>15</v>
      </c>
      <c r="K11" s="77" t="s">
        <v>16</v>
      </c>
      <c r="L11" s="79" t="s">
        <v>73</v>
      </c>
      <c r="M11" s="80"/>
      <c r="N11" s="80"/>
      <c r="O11" s="80"/>
      <c r="P11" s="80"/>
      <c r="Q11" s="81"/>
      <c r="R11" s="71" t="s">
        <v>17</v>
      </c>
      <c r="W11" s="12"/>
    </row>
    <row r="12" spans="1:23" s="13" customFormat="1" ht="58.5" customHeight="1" x14ac:dyDescent="0.25">
      <c r="A12" s="72"/>
      <c r="B12" s="75"/>
      <c r="C12" s="76"/>
      <c r="D12" s="75"/>
      <c r="E12" s="76"/>
      <c r="F12" s="78"/>
      <c r="G12" s="78"/>
      <c r="H12" s="78"/>
      <c r="I12" s="78"/>
      <c r="J12" s="78"/>
      <c r="K12" s="78"/>
      <c r="L12" s="63" t="s">
        <v>18</v>
      </c>
      <c r="M12" s="63" t="s">
        <v>78</v>
      </c>
      <c r="N12" s="61" t="s">
        <v>19</v>
      </c>
      <c r="O12" s="61" t="s">
        <v>20</v>
      </c>
      <c r="P12" s="61" t="s">
        <v>21</v>
      </c>
      <c r="Q12" s="61" t="s">
        <v>74</v>
      </c>
      <c r="R12" s="72"/>
    </row>
    <row r="13" spans="1:23" s="24" customFormat="1" ht="15.75" x14ac:dyDescent="0.25">
      <c r="A13" s="14">
        <f>A12+1</f>
        <v>1</v>
      </c>
      <c r="B13" s="15">
        <v>521211</v>
      </c>
      <c r="C13" s="16" t="s">
        <v>22</v>
      </c>
      <c r="D13" s="29" t="s">
        <v>72</v>
      </c>
      <c r="E13" s="18"/>
      <c r="F13" s="19">
        <v>120</v>
      </c>
      <c r="G13" s="19">
        <v>50000</v>
      </c>
      <c r="H13" s="19">
        <f>F13*G13</f>
        <v>6000000</v>
      </c>
      <c r="I13" s="20" t="s">
        <v>23</v>
      </c>
      <c r="J13" s="19"/>
      <c r="K13" s="19">
        <f>H13-J13</f>
        <v>6000000</v>
      </c>
      <c r="L13" s="62" t="s">
        <v>76</v>
      </c>
      <c r="M13" s="62" t="s">
        <v>76</v>
      </c>
      <c r="N13" s="62"/>
      <c r="O13" s="62"/>
      <c r="P13" s="62"/>
      <c r="Q13" s="62"/>
      <c r="R13" s="23"/>
      <c r="U13" s="25"/>
      <c r="V13" s="25"/>
      <c r="W13" s="25"/>
    </row>
    <row r="14" spans="1:23" s="24" customFormat="1" ht="15.6" hidden="1" x14ac:dyDescent="0.35">
      <c r="A14" s="26">
        <f>A13+1</f>
        <v>2</v>
      </c>
      <c r="B14" s="27">
        <v>521212</v>
      </c>
      <c r="C14" s="28" t="s">
        <v>22</v>
      </c>
      <c r="D14" s="29"/>
      <c r="E14" s="30"/>
      <c r="F14" s="19">
        <v>0</v>
      </c>
      <c r="G14" s="19">
        <v>0</v>
      </c>
      <c r="H14" s="19">
        <f t="shared" ref="H14:H21" si="0">F14*G14</f>
        <v>0</v>
      </c>
      <c r="I14" s="19"/>
      <c r="J14" s="31">
        <f t="shared" ref="J14" si="1">11.5%*H14</f>
        <v>0</v>
      </c>
      <c r="K14" s="19">
        <f t="shared" ref="K14:K21" si="2">H14-J14</f>
        <v>0</v>
      </c>
      <c r="L14" s="22"/>
      <c r="M14" s="22"/>
      <c r="N14" s="22"/>
      <c r="O14" s="22"/>
      <c r="P14" s="22"/>
      <c r="Q14" s="22"/>
      <c r="R14" s="23"/>
      <c r="U14" s="25"/>
      <c r="V14" s="25"/>
      <c r="W14" s="25"/>
    </row>
    <row r="15" spans="1:23" s="24" customFormat="1" ht="15.75" x14ac:dyDescent="0.25">
      <c r="A15" s="26"/>
      <c r="B15" s="27"/>
      <c r="C15" s="28"/>
      <c r="D15" s="29"/>
      <c r="E15" s="30"/>
      <c r="F15" s="19"/>
      <c r="G15" s="19"/>
      <c r="H15" s="19"/>
      <c r="I15" s="20"/>
      <c r="J15" s="19"/>
      <c r="K15" s="19"/>
      <c r="L15" s="22"/>
      <c r="M15" s="22"/>
      <c r="N15" s="22"/>
      <c r="O15" s="22"/>
      <c r="P15" s="22"/>
      <c r="Q15" s="22"/>
      <c r="R15" s="23"/>
      <c r="U15" s="25"/>
      <c r="V15" s="25"/>
      <c r="W15" s="25"/>
    </row>
    <row r="16" spans="1:23" s="24" customFormat="1" ht="15.75" x14ac:dyDescent="0.25">
      <c r="A16" s="26"/>
      <c r="B16" s="29"/>
      <c r="C16" s="32"/>
      <c r="D16" s="29"/>
      <c r="E16" s="30"/>
      <c r="F16" s="19"/>
      <c r="G16" s="19"/>
      <c r="H16" s="19"/>
      <c r="I16" s="19"/>
      <c r="J16" s="19"/>
      <c r="K16" s="19"/>
      <c r="L16" s="21"/>
      <c r="M16" s="22"/>
      <c r="N16" s="21"/>
      <c r="O16" s="21"/>
      <c r="P16" s="21"/>
      <c r="Q16" s="21"/>
      <c r="R16" s="23"/>
      <c r="U16" s="25"/>
      <c r="V16" s="25"/>
      <c r="W16" s="25"/>
    </row>
    <row r="17" spans="1:23" s="24" customFormat="1" ht="15.6" hidden="1" x14ac:dyDescent="0.35">
      <c r="A17" s="26">
        <f t="shared" ref="A17:A21" si="3">A16+1</f>
        <v>1</v>
      </c>
      <c r="B17" s="29">
        <v>522152</v>
      </c>
      <c r="C17" s="32" t="s">
        <v>24</v>
      </c>
      <c r="D17" s="29"/>
      <c r="E17" s="30"/>
      <c r="F17" s="19">
        <v>0</v>
      </c>
      <c r="G17" s="19">
        <v>1000000</v>
      </c>
      <c r="H17" s="19">
        <f t="shared" si="0"/>
        <v>0</v>
      </c>
      <c r="I17" s="19"/>
      <c r="J17" s="31">
        <f t="shared" ref="J17:J21" si="4">11.5%*H17</f>
        <v>0</v>
      </c>
      <c r="K17" s="19">
        <f t="shared" si="2"/>
        <v>0</v>
      </c>
      <c r="L17" s="22"/>
      <c r="M17" s="22"/>
      <c r="N17" s="22"/>
      <c r="O17" s="22"/>
      <c r="P17" s="22"/>
      <c r="Q17" s="22"/>
      <c r="R17" s="23"/>
      <c r="U17" s="25"/>
      <c r="V17" s="25"/>
      <c r="W17" s="25"/>
    </row>
    <row r="18" spans="1:23" s="24" customFormat="1" ht="15.6" hidden="1" x14ac:dyDescent="0.35">
      <c r="A18" s="26">
        <f t="shared" si="3"/>
        <v>2</v>
      </c>
      <c r="B18" s="29">
        <v>522153</v>
      </c>
      <c r="C18" s="32" t="s">
        <v>24</v>
      </c>
      <c r="D18" s="29"/>
      <c r="E18" s="30"/>
      <c r="F18" s="19">
        <v>0</v>
      </c>
      <c r="G18" s="19">
        <v>900000</v>
      </c>
      <c r="H18" s="19">
        <f t="shared" si="0"/>
        <v>0</v>
      </c>
      <c r="I18" s="19"/>
      <c r="J18" s="31">
        <f t="shared" si="4"/>
        <v>0</v>
      </c>
      <c r="K18" s="19">
        <f t="shared" si="2"/>
        <v>0</v>
      </c>
      <c r="L18" s="22"/>
      <c r="M18" s="22"/>
      <c r="N18" s="22"/>
      <c r="O18" s="33"/>
      <c r="P18" s="33"/>
      <c r="Q18" s="22"/>
      <c r="R18" s="23"/>
      <c r="U18" s="25"/>
      <c r="V18" s="25"/>
      <c r="W18" s="25"/>
    </row>
    <row r="19" spans="1:23" s="24" customFormat="1" ht="15.6" hidden="1" x14ac:dyDescent="0.35">
      <c r="A19" s="26">
        <f t="shared" si="3"/>
        <v>3</v>
      </c>
      <c r="B19" s="29">
        <v>522154</v>
      </c>
      <c r="C19" s="32" t="s">
        <v>24</v>
      </c>
      <c r="D19" s="29"/>
      <c r="E19" s="30"/>
      <c r="F19" s="19">
        <v>0</v>
      </c>
      <c r="G19" s="19">
        <v>700000</v>
      </c>
      <c r="H19" s="19">
        <f t="shared" si="0"/>
        <v>0</v>
      </c>
      <c r="I19" s="19"/>
      <c r="J19" s="31">
        <f t="shared" si="4"/>
        <v>0</v>
      </c>
      <c r="K19" s="19">
        <f t="shared" si="2"/>
        <v>0</v>
      </c>
      <c r="L19" s="22"/>
      <c r="M19" s="22"/>
      <c r="N19" s="22"/>
      <c r="O19" s="22"/>
      <c r="P19" s="22"/>
      <c r="Q19" s="22"/>
      <c r="R19" s="23"/>
      <c r="U19" s="25"/>
      <c r="V19" s="25"/>
      <c r="W19" s="25"/>
    </row>
    <row r="20" spans="1:23" s="24" customFormat="1" ht="46.5" hidden="1" x14ac:dyDescent="0.35">
      <c r="A20" s="26">
        <f t="shared" si="3"/>
        <v>4</v>
      </c>
      <c r="B20" s="29">
        <v>524113</v>
      </c>
      <c r="C20" s="28" t="s">
        <v>25</v>
      </c>
      <c r="D20" s="29"/>
      <c r="E20" s="30"/>
      <c r="F20" s="19">
        <v>0</v>
      </c>
      <c r="G20" s="19">
        <v>150000</v>
      </c>
      <c r="H20" s="19">
        <f t="shared" si="0"/>
        <v>0</v>
      </c>
      <c r="I20" s="19"/>
      <c r="J20" s="31">
        <f t="shared" si="4"/>
        <v>0</v>
      </c>
      <c r="K20" s="19">
        <f t="shared" si="2"/>
        <v>0</v>
      </c>
      <c r="L20" s="22"/>
      <c r="M20" s="22"/>
      <c r="N20" s="22"/>
      <c r="O20" s="22"/>
      <c r="P20" s="22"/>
      <c r="Q20" s="22"/>
      <c r="R20" s="23"/>
      <c r="U20" s="25"/>
      <c r="V20" s="25"/>
      <c r="W20" s="25"/>
    </row>
    <row r="21" spans="1:23" s="24" customFormat="1" ht="62.1" hidden="1" x14ac:dyDescent="0.35">
      <c r="A21" s="26">
        <f t="shared" si="3"/>
        <v>5</v>
      </c>
      <c r="B21" s="29">
        <v>524114</v>
      </c>
      <c r="C21" s="28" t="s">
        <v>26</v>
      </c>
      <c r="D21" s="29"/>
      <c r="E21" s="30"/>
      <c r="F21" s="19">
        <v>0</v>
      </c>
      <c r="G21" s="19">
        <v>300000</v>
      </c>
      <c r="H21" s="19">
        <f t="shared" si="0"/>
        <v>0</v>
      </c>
      <c r="I21" s="19"/>
      <c r="J21" s="31">
        <f t="shared" si="4"/>
        <v>0</v>
      </c>
      <c r="K21" s="19">
        <f t="shared" si="2"/>
        <v>0</v>
      </c>
      <c r="L21" s="22"/>
      <c r="M21" s="22"/>
      <c r="N21" s="22"/>
      <c r="O21" s="22"/>
      <c r="P21" s="22"/>
      <c r="Q21" s="22"/>
      <c r="R21" s="34"/>
      <c r="U21" s="25"/>
      <c r="V21" s="25"/>
      <c r="W21" s="25"/>
    </row>
    <row r="22" spans="1:23" s="3" customFormat="1" ht="15.75" x14ac:dyDescent="0.25">
      <c r="A22" s="67" t="s">
        <v>27</v>
      </c>
      <c r="B22" s="68"/>
      <c r="C22" s="68"/>
      <c r="D22" s="68"/>
      <c r="E22" s="68"/>
      <c r="F22" s="68"/>
      <c r="G22" s="69"/>
      <c r="H22" s="35">
        <f>SUM(H13:H15)</f>
        <v>6000000</v>
      </c>
      <c r="I22" s="35"/>
      <c r="J22" s="35">
        <f>J13+J16</f>
        <v>0</v>
      </c>
      <c r="K22" s="35">
        <f>SUM(K13:K15)</f>
        <v>6000000</v>
      </c>
      <c r="L22" s="36"/>
      <c r="M22" s="36"/>
      <c r="N22" s="36"/>
      <c r="O22" s="36"/>
      <c r="P22" s="36"/>
      <c r="Q22" s="36"/>
      <c r="R22" s="37"/>
    </row>
    <row r="23" spans="1:23" s="42" customFormat="1" ht="20.100000000000001" customHeight="1" x14ac:dyDescent="0.25">
      <c r="A23" s="38"/>
      <c r="B23" s="38"/>
      <c r="C23" s="38"/>
      <c r="D23" s="38"/>
      <c r="E23" s="38"/>
      <c r="F23" s="39"/>
      <c r="G23" s="39"/>
      <c r="H23" s="40" t="s">
        <v>28</v>
      </c>
      <c r="I23" s="40"/>
      <c r="J23" s="40" t="s">
        <v>29</v>
      </c>
      <c r="K23" s="41"/>
      <c r="L23" s="39"/>
      <c r="M23" s="39"/>
      <c r="N23" s="39"/>
      <c r="O23" s="39"/>
      <c r="P23" s="39"/>
      <c r="Q23" s="39"/>
      <c r="R23" s="38"/>
    </row>
    <row r="24" spans="1:23" s="3" customFormat="1" ht="15.6" hidden="1" x14ac:dyDescent="0.35">
      <c r="A24" s="8" t="s">
        <v>30</v>
      </c>
      <c r="B24" s="4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6"/>
    </row>
    <row r="25" spans="1:23" s="4" customFormat="1" ht="15.6" hidden="1" x14ac:dyDescent="0.35">
      <c r="A25" s="45" t="s">
        <v>31</v>
      </c>
      <c r="B25" s="4" t="s">
        <v>32</v>
      </c>
      <c r="C25" s="5"/>
      <c r="E25" s="5"/>
      <c r="G25" s="3"/>
      <c r="H25" s="3"/>
      <c r="I25" s="3"/>
      <c r="J25" s="3"/>
      <c r="K25" s="3"/>
      <c r="L25" s="44"/>
      <c r="M25" s="44"/>
      <c r="N25" s="44"/>
    </row>
    <row r="26" spans="1:23" s="4" customFormat="1" ht="15.6" hidden="1" x14ac:dyDescent="0.35">
      <c r="A26" s="46" t="s">
        <v>33</v>
      </c>
      <c r="B26" s="4" t="s">
        <v>34</v>
      </c>
      <c r="C26" s="5"/>
      <c r="E26" s="5"/>
      <c r="G26" s="3"/>
      <c r="H26" s="3"/>
      <c r="I26" s="3"/>
      <c r="J26" s="3"/>
      <c r="K26" s="3"/>
      <c r="L26" s="44"/>
      <c r="M26" s="44"/>
      <c r="N26" s="44"/>
    </row>
    <row r="27" spans="1:23" s="4" customFormat="1" ht="15.6" hidden="1" x14ac:dyDescent="0.35">
      <c r="A27" s="46" t="s">
        <v>35</v>
      </c>
      <c r="B27" s="4" t="s">
        <v>36</v>
      </c>
      <c r="C27" s="5"/>
      <c r="E27" s="5"/>
      <c r="G27" s="3"/>
      <c r="H27" s="3"/>
      <c r="I27" s="3"/>
      <c r="J27" s="3"/>
      <c r="K27" s="3"/>
      <c r="L27" s="44"/>
      <c r="M27" s="44"/>
      <c r="N27" s="44"/>
    </row>
    <row r="28" spans="1:23" s="4" customFormat="1" ht="12.75" hidden="1" customHeight="1" x14ac:dyDescent="0.35">
      <c r="A28" s="46" t="s">
        <v>37</v>
      </c>
      <c r="B28" s="47" t="s">
        <v>38</v>
      </c>
      <c r="C28" s="48"/>
      <c r="D28" s="49"/>
      <c r="E28" s="49"/>
      <c r="F28" s="50"/>
      <c r="G28" s="51"/>
      <c r="L28" s="9"/>
      <c r="M28" s="9"/>
      <c r="N28" s="9"/>
      <c r="O28" s="52"/>
      <c r="P28" s="52"/>
      <c r="Q28" s="53"/>
    </row>
    <row r="29" spans="1:23" s="4" customFormat="1" ht="15.6" hidden="1" x14ac:dyDescent="0.35">
      <c r="A29" s="46" t="s">
        <v>39</v>
      </c>
      <c r="B29" s="47" t="s">
        <v>40</v>
      </c>
      <c r="C29" s="48"/>
      <c r="D29" s="49"/>
      <c r="E29" s="49"/>
      <c r="F29" s="50"/>
      <c r="G29" s="51"/>
      <c r="H29" s="54"/>
      <c r="I29" s="54"/>
      <c r="J29" s="54"/>
      <c r="K29" s="54"/>
      <c r="L29" s="9"/>
      <c r="M29" s="9"/>
      <c r="N29" s="9"/>
      <c r="O29" s="52"/>
      <c r="P29" s="52"/>
      <c r="Q29" s="53"/>
    </row>
    <row r="30" spans="1:23" s="4" customFormat="1" ht="12" hidden="1" customHeight="1" x14ac:dyDescent="0.35">
      <c r="A30" s="45" t="s">
        <v>41</v>
      </c>
      <c r="B30" s="47" t="s">
        <v>42</v>
      </c>
      <c r="C30" s="55"/>
      <c r="D30" s="49"/>
      <c r="E30" s="49"/>
      <c r="F30" s="50"/>
      <c r="G30" s="51"/>
      <c r="H30" s="54"/>
      <c r="I30" s="54"/>
      <c r="J30" s="54"/>
      <c r="K30" s="54"/>
      <c r="L30" s="9"/>
      <c r="M30" s="9"/>
      <c r="N30" s="9"/>
      <c r="O30" s="52"/>
      <c r="P30" s="52"/>
      <c r="Q30" s="53"/>
    </row>
    <row r="31" spans="1:23" s="4" customFormat="1" ht="15.6" hidden="1" x14ac:dyDescent="0.35">
      <c r="A31" s="45" t="s">
        <v>43</v>
      </c>
      <c r="B31" s="9" t="s">
        <v>44</v>
      </c>
      <c r="C31" s="5"/>
      <c r="E31" s="56"/>
      <c r="F31" s="57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</row>
    <row r="32" spans="1:23" s="4" customFormat="1" ht="15.6" hidden="1" x14ac:dyDescent="0.35">
      <c r="A32" s="45" t="s">
        <v>45</v>
      </c>
      <c r="B32" s="4" t="s">
        <v>46</v>
      </c>
      <c r="C32" s="5"/>
      <c r="E32" s="56"/>
      <c r="F32" s="57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</row>
    <row r="33" spans="1:17" s="4" customFormat="1" ht="15.6" hidden="1" x14ac:dyDescent="0.35">
      <c r="A33" s="45" t="s">
        <v>47</v>
      </c>
      <c r="B33" s="4" t="s">
        <v>48</v>
      </c>
      <c r="C33" s="5"/>
      <c r="E33" s="56"/>
      <c r="F33" s="57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</row>
    <row r="34" spans="1:17" s="4" customFormat="1" ht="15" x14ac:dyDescent="0.2">
      <c r="B34" s="4" t="s">
        <v>65</v>
      </c>
      <c r="C34" s="5"/>
      <c r="E34" s="5"/>
    </row>
    <row r="35" spans="1:17" s="4" customFormat="1" ht="15" x14ac:dyDescent="0.2">
      <c r="B35" s="4" t="s">
        <v>66</v>
      </c>
      <c r="C35" s="5"/>
      <c r="E35" s="5"/>
    </row>
    <row r="36" spans="1:17" s="4" customFormat="1" ht="15" x14ac:dyDescent="0.2">
      <c r="C36" s="5"/>
      <c r="E36" s="5"/>
    </row>
    <row r="37" spans="1:17" s="4" customFormat="1" ht="15" x14ac:dyDescent="0.2">
      <c r="C37" s="5"/>
      <c r="E37" s="5"/>
    </row>
    <row r="38" spans="1:17" s="4" customFormat="1" ht="15" x14ac:dyDescent="0.2">
      <c r="C38" s="5"/>
      <c r="E38" s="5"/>
    </row>
    <row r="39" spans="1:17" s="4" customFormat="1" ht="15" x14ac:dyDescent="0.2">
      <c r="C39" s="5"/>
      <c r="E39" s="5"/>
    </row>
    <row r="40" spans="1:17" s="4" customFormat="1" ht="15" x14ac:dyDescent="0.2">
      <c r="C40" s="5"/>
      <c r="E40" s="5"/>
    </row>
    <row r="41" spans="1:17" s="4" customFormat="1" ht="15" x14ac:dyDescent="0.2">
      <c r="C41" s="5"/>
      <c r="E41" s="5"/>
    </row>
    <row r="42" spans="1:17" s="4" customFormat="1" ht="15" x14ac:dyDescent="0.2">
      <c r="C42" s="5"/>
      <c r="E42" s="5"/>
    </row>
    <row r="43" spans="1:17" s="4" customFormat="1" ht="15" x14ac:dyDescent="0.2">
      <c r="C43" s="5"/>
      <c r="E43" s="5"/>
    </row>
    <row r="44" spans="1:17" s="4" customFormat="1" ht="15" x14ac:dyDescent="0.2">
      <c r="C44" s="5"/>
      <c r="E44" s="5"/>
      <c r="N44" s="4" t="s">
        <v>84</v>
      </c>
    </row>
    <row r="45" spans="1:17" s="4" customFormat="1" ht="15" x14ac:dyDescent="0.2">
      <c r="B45" s="4" t="s">
        <v>49</v>
      </c>
      <c r="C45" s="5"/>
      <c r="E45" s="5"/>
      <c r="H45" s="4" t="s">
        <v>50</v>
      </c>
      <c r="N45" s="4" t="s">
        <v>51</v>
      </c>
    </row>
    <row r="46" spans="1:17" s="4" customFormat="1" ht="15" x14ac:dyDescent="0.2">
      <c r="B46" s="4" t="s">
        <v>83</v>
      </c>
      <c r="C46" s="5"/>
      <c r="E46" s="5"/>
      <c r="H46" s="4" t="s">
        <v>55</v>
      </c>
      <c r="N46" s="4" t="s">
        <v>52</v>
      </c>
    </row>
    <row r="47" spans="1:17" s="4" customFormat="1" ht="15" x14ac:dyDescent="0.2">
      <c r="B47" s="4" t="s">
        <v>53</v>
      </c>
      <c r="C47" s="5"/>
      <c r="E47" s="5"/>
      <c r="N47" s="4" t="s">
        <v>53</v>
      </c>
    </row>
    <row r="48" spans="1:17" s="4" customFormat="1" ht="15" x14ac:dyDescent="0.2">
      <c r="C48" s="5"/>
      <c r="E48" s="5"/>
    </row>
    <row r="49" spans="2:14" s="4" customFormat="1" ht="15" x14ac:dyDescent="0.2">
      <c r="C49" s="5"/>
      <c r="E49" s="5"/>
    </row>
    <row r="50" spans="2:14" s="4" customFormat="1" ht="15" x14ac:dyDescent="0.2">
      <c r="C50" s="5"/>
      <c r="E50" s="5"/>
    </row>
    <row r="51" spans="2:14" s="4" customFormat="1" ht="15" x14ac:dyDescent="0.2">
      <c r="C51" s="5"/>
      <c r="E51" s="5"/>
    </row>
    <row r="52" spans="2:14" s="4" customFormat="1" ht="15" x14ac:dyDescent="0.2">
      <c r="B52" s="4" t="s">
        <v>85</v>
      </c>
      <c r="C52" s="5"/>
      <c r="E52" s="5"/>
      <c r="H52" s="58" t="s">
        <v>77</v>
      </c>
      <c r="N52" s="4" t="s">
        <v>54</v>
      </c>
    </row>
    <row r="53" spans="2:14" s="4" customFormat="1" ht="15" x14ac:dyDescent="0.2">
      <c r="C53" s="5"/>
      <c r="E53" s="5"/>
    </row>
    <row r="67" spans="3:5" x14ac:dyDescent="0.2">
      <c r="C67" s="64"/>
    </row>
    <row r="68" spans="3:5" x14ac:dyDescent="0.2">
      <c r="C68" s="64"/>
      <c r="E68" s="65"/>
    </row>
    <row r="69" spans="3:5" x14ac:dyDescent="0.2">
      <c r="C69" s="64"/>
    </row>
    <row r="70" spans="3:5" x14ac:dyDescent="0.2">
      <c r="C70" s="64"/>
    </row>
    <row r="71" spans="3:5" x14ac:dyDescent="0.2">
      <c r="C71" s="64"/>
    </row>
    <row r="72" spans="3:5" x14ac:dyDescent="0.2">
      <c r="C72" s="66"/>
    </row>
  </sheetData>
  <mergeCells count="15">
    <mergeCell ref="A22:G22"/>
    <mergeCell ref="A1:R1"/>
    <mergeCell ref="A2:R2"/>
    <mergeCell ref="A3:R3"/>
    <mergeCell ref="A11:A12"/>
    <mergeCell ref="B11:C12"/>
    <mergeCell ref="D11:E12"/>
    <mergeCell ref="F11:F12"/>
    <mergeCell ref="G11:G12"/>
    <mergeCell ref="H11:H12"/>
    <mergeCell ref="I11:I12"/>
    <mergeCell ref="J11:J12"/>
    <mergeCell ref="K11:K12"/>
    <mergeCell ref="L11:Q11"/>
    <mergeCell ref="R11:R12"/>
  </mergeCells>
  <printOptions horizontalCentered="1"/>
  <pageMargins left="0.19685039370078741" right="0.23622047244094491" top="0.74803149606299213" bottom="0.74803149606299213" header="0.31496062992125984" footer="0.31496062992125984"/>
  <pageSetup paperSize="9" scale="58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zoomScale="69" zoomScaleNormal="69" workbookViewId="0">
      <selection activeCell="Q13" sqref="Q13"/>
    </sheetView>
  </sheetViews>
  <sheetFormatPr defaultColWidth="9.140625" defaultRowHeight="12.75" x14ac:dyDescent="0.2"/>
  <cols>
    <col min="1" max="1" width="3.7109375" style="1" customWidth="1"/>
    <col min="2" max="2" width="8.42578125" style="1" customWidth="1"/>
    <col min="3" max="3" width="18.140625" style="2" customWidth="1"/>
    <col min="4" max="4" width="2.7109375" style="1" customWidth="1"/>
    <col min="5" max="5" width="34" style="2" customWidth="1"/>
    <col min="6" max="6" width="11.85546875" style="1" customWidth="1"/>
    <col min="7" max="7" width="13" style="1" customWidth="1"/>
    <col min="8" max="9" width="14.5703125" style="1" customWidth="1"/>
    <col min="10" max="10" width="15.140625" style="1" customWidth="1"/>
    <col min="11" max="11" width="19.140625" style="1" customWidth="1"/>
    <col min="12" max="12" width="12.42578125" style="1" customWidth="1"/>
    <col min="13" max="13" width="11.85546875" style="1" customWidth="1"/>
    <col min="14" max="14" width="8.5703125" style="1" customWidth="1"/>
    <col min="15" max="15" width="11.140625" style="1" customWidth="1"/>
    <col min="16" max="16" width="8.140625" style="1" customWidth="1"/>
    <col min="17" max="17" width="9.42578125" style="1" customWidth="1"/>
    <col min="18" max="18" width="21.42578125" style="1" customWidth="1"/>
    <col min="19" max="19" width="3" style="1" customWidth="1"/>
    <col min="20" max="20" width="9.140625" style="1"/>
    <col min="21" max="22" width="13.5703125" style="1" customWidth="1"/>
    <col min="23" max="23" width="12.5703125" style="1" customWidth="1"/>
    <col min="24" max="16384" width="9.140625" style="1"/>
  </cols>
  <sheetData>
    <row r="1" spans="1:23" s="4" customFormat="1" ht="18" x14ac:dyDescent="0.4">
      <c r="A1" s="70" t="s">
        <v>0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</row>
    <row r="2" spans="1:23" s="4" customFormat="1" ht="18" x14ac:dyDescent="0.4">
      <c r="A2" s="70" t="s">
        <v>68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</row>
    <row r="3" spans="1:23" s="4" customFormat="1" ht="18" x14ac:dyDescent="0.4">
      <c r="A3" s="70" t="s">
        <v>69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</row>
    <row r="4" spans="1:23" s="4" customFormat="1" ht="18" x14ac:dyDescent="0.4">
      <c r="A4" s="59"/>
      <c r="C4" s="5"/>
      <c r="E4" s="5"/>
    </row>
    <row r="5" spans="1:23" s="4" customFormat="1" ht="20.25" customHeight="1" x14ac:dyDescent="0.25">
      <c r="A5" s="3" t="s">
        <v>1</v>
      </c>
      <c r="B5" s="3"/>
      <c r="C5" s="6"/>
      <c r="D5" s="7" t="s">
        <v>2</v>
      </c>
      <c r="E5" s="8" t="s">
        <v>62</v>
      </c>
      <c r="F5" s="9"/>
    </row>
    <row r="6" spans="1:23" s="4" customFormat="1" ht="15.75" x14ac:dyDescent="0.25">
      <c r="A6" s="3" t="s">
        <v>3</v>
      </c>
      <c r="B6" s="3"/>
      <c r="C6" s="6"/>
      <c r="D6" s="7" t="s">
        <v>2</v>
      </c>
      <c r="E6" s="6" t="s">
        <v>61</v>
      </c>
    </row>
    <row r="7" spans="1:23" s="4" customFormat="1" ht="15.75" x14ac:dyDescent="0.25">
      <c r="A7" s="3" t="s">
        <v>4</v>
      </c>
      <c r="B7" s="3"/>
      <c r="C7" s="6"/>
      <c r="D7" s="7" t="s">
        <v>2</v>
      </c>
      <c r="E7" s="6" t="s">
        <v>63</v>
      </c>
    </row>
    <row r="8" spans="1:23" s="4" customFormat="1" ht="15.75" x14ac:dyDescent="0.25">
      <c r="A8" s="3" t="s">
        <v>5</v>
      </c>
      <c r="B8" s="3"/>
      <c r="C8" s="6"/>
      <c r="D8" s="7" t="s">
        <v>2</v>
      </c>
      <c r="E8" s="10" t="s">
        <v>60</v>
      </c>
    </row>
    <row r="9" spans="1:23" s="4" customFormat="1" ht="15.6" x14ac:dyDescent="0.35">
      <c r="A9" s="3" t="s">
        <v>6</v>
      </c>
      <c r="B9" s="3"/>
      <c r="C9" s="6"/>
      <c r="D9" s="7" t="s">
        <v>2</v>
      </c>
      <c r="E9" s="6" t="s">
        <v>70</v>
      </c>
    </row>
    <row r="10" spans="1:23" s="4" customFormat="1" ht="16.5" customHeight="1" x14ac:dyDescent="0.25">
      <c r="A10" s="3" t="s">
        <v>7</v>
      </c>
      <c r="B10" s="3"/>
      <c r="C10" s="6"/>
      <c r="D10" s="7" t="s">
        <v>2</v>
      </c>
      <c r="E10" s="6" t="s">
        <v>59</v>
      </c>
    </row>
    <row r="11" spans="1:23" s="11" customFormat="1" ht="23.45" customHeight="1" x14ac:dyDescent="0.25">
      <c r="A11" s="71" t="s">
        <v>8</v>
      </c>
      <c r="B11" s="73" t="s">
        <v>9</v>
      </c>
      <c r="C11" s="74"/>
      <c r="D11" s="73" t="s">
        <v>10</v>
      </c>
      <c r="E11" s="74"/>
      <c r="F11" s="77" t="s">
        <v>11</v>
      </c>
      <c r="G11" s="77" t="s">
        <v>12</v>
      </c>
      <c r="H11" s="77" t="s">
        <v>13</v>
      </c>
      <c r="I11" s="77" t="s">
        <v>14</v>
      </c>
      <c r="J11" s="77" t="s">
        <v>15</v>
      </c>
      <c r="K11" s="77" t="s">
        <v>16</v>
      </c>
      <c r="L11" s="79" t="s">
        <v>73</v>
      </c>
      <c r="M11" s="80"/>
      <c r="N11" s="80"/>
      <c r="O11" s="80"/>
      <c r="P11" s="80"/>
      <c r="Q11" s="81"/>
      <c r="R11" s="71" t="s">
        <v>17</v>
      </c>
      <c r="W11" s="12"/>
    </row>
    <row r="12" spans="1:23" s="13" customFormat="1" ht="58.5" customHeight="1" x14ac:dyDescent="0.25">
      <c r="A12" s="72"/>
      <c r="B12" s="75"/>
      <c r="C12" s="76"/>
      <c r="D12" s="75"/>
      <c r="E12" s="76"/>
      <c r="F12" s="78"/>
      <c r="G12" s="78"/>
      <c r="H12" s="78"/>
      <c r="I12" s="78"/>
      <c r="J12" s="78"/>
      <c r="K12" s="78"/>
      <c r="L12" s="60" t="s">
        <v>18</v>
      </c>
      <c r="M12" s="60" t="s">
        <v>64</v>
      </c>
      <c r="N12" s="61" t="s">
        <v>19</v>
      </c>
      <c r="O12" s="61" t="s">
        <v>20</v>
      </c>
      <c r="P12" s="61" t="s">
        <v>21</v>
      </c>
      <c r="Q12" s="61" t="s">
        <v>74</v>
      </c>
      <c r="R12" s="72"/>
    </row>
    <row r="13" spans="1:23" s="24" customFormat="1" ht="15.75" x14ac:dyDescent="0.25">
      <c r="A13" s="14">
        <f>A12+1</f>
        <v>1</v>
      </c>
      <c r="B13" s="15">
        <v>521211</v>
      </c>
      <c r="C13" s="16" t="s">
        <v>22</v>
      </c>
      <c r="D13" s="17" t="s">
        <v>71</v>
      </c>
      <c r="E13" s="18"/>
      <c r="F13" s="19"/>
      <c r="G13" s="19"/>
      <c r="H13" s="19"/>
      <c r="I13" s="20" t="s">
        <v>23</v>
      </c>
      <c r="J13" s="19"/>
      <c r="K13" s="19">
        <f>H13-J13</f>
        <v>0</v>
      </c>
      <c r="L13" s="21"/>
      <c r="M13" s="22"/>
      <c r="N13" s="21"/>
      <c r="O13" s="21"/>
      <c r="P13" s="21"/>
      <c r="Q13" s="21"/>
      <c r="R13" s="23"/>
      <c r="U13" s="25"/>
      <c r="V13" s="25"/>
      <c r="W13" s="25"/>
    </row>
    <row r="14" spans="1:23" s="24" customFormat="1" ht="15.6" hidden="1" x14ac:dyDescent="0.35">
      <c r="A14" s="26">
        <f>A13+1</f>
        <v>2</v>
      </c>
      <c r="B14" s="27">
        <v>521212</v>
      </c>
      <c r="C14" s="28" t="s">
        <v>22</v>
      </c>
      <c r="D14" s="29"/>
      <c r="E14" s="30"/>
      <c r="F14" s="19">
        <v>0</v>
      </c>
      <c r="G14" s="19">
        <v>0</v>
      </c>
      <c r="H14" s="19">
        <f t="shared" ref="H14:H21" si="0">F14*G14</f>
        <v>0</v>
      </c>
      <c r="I14" s="19"/>
      <c r="J14" s="31">
        <f t="shared" ref="J14" si="1">11.5%*H14</f>
        <v>0</v>
      </c>
      <c r="K14" s="19">
        <f t="shared" ref="K14:K21" si="2">H14-J14</f>
        <v>0</v>
      </c>
      <c r="L14" s="22"/>
      <c r="M14" s="22"/>
      <c r="N14" s="22"/>
      <c r="O14" s="22"/>
      <c r="P14" s="22"/>
      <c r="Q14" s="22"/>
      <c r="R14" s="23"/>
      <c r="U14" s="25"/>
      <c r="V14" s="25"/>
      <c r="W14" s="25"/>
    </row>
    <row r="15" spans="1:23" s="24" customFormat="1" ht="15.75" x14ac:dyDescent="0.25">
      <c r="A15" s="26"/>
      <c r="B15" s="27"/>
      <c r="C15" s="28"/>
      <c r="D15" s="29" t="s">
        <v>72</v>
      </c>
      <c r="E15" s="30"/>
      <c r="F15" s="19"/>
      <c r="G15" s="19"/>
      <c r="H15" s="19"/>
      <c r="I15" s="19"/>
      <c r="J15" s="31"/>
      <c r="K15" s="19"/>
      <c r="L15" s="22"/>
      <c r="M15" s="22"/>
      <c r="N15" s="22"/>
      <c r="O15" s="22"/>
      <c r="P15" s="22"/>
      <c r="Q15" s="22"/>
      <c r="R15" s="23"/>
      <c r="U15" s="25"/>
      <c r="V15" s="25"/>
      <c r="W15" s="25"/>
    </row>
    <row r="16" spans="1:23" s="24" customFormat="1" ht="15.75" x14ac:dyDescent="0.25">
      <c r="A16" s="26"/>
      <c r="B16" s="29"/>
      <c r="C16" s="32"/>
      <c r="D16" s="29"/>
      <c r="E16" s="30"/>
      <c r="F16" s="19"/>
      <c r="G16" s="19"/>
      <c r="H16" s="19"/>
      <c r="I16" s="19"/>
      <c r="J16" s="19"/>
      <c r="K16" s="19"/>
      <c r="L16" s="21"/>
      <c r="M16" s="22"/>
      <c r="N16" s="21"/>
      <c r="O16" s="21"/>
      <c r="P16" s="21"/>
      <c r="Q16" s="21"/>
      <c r="R16" s="23"/>
      <c r="U16" s="25"/>
      <c r="V16" s="25"/>
      <c r="W16" s="25"/>
    </row>
    <row r="17" spans="1:23" s="24" customFormat="1" ht="15.6" hidden="1" x14ac:dyDescent="0.35">
      <c r="A17" s="26">
        <f t="shared" ref="A17:A21" si="3">A16+1</f>
        <v>1</v>
      </c>
      <c r="B17" s="29">
        <v>522152</v>
      </c>
      <c r="C17" s="32" t="s">
        <v>24</v>
      </c>
      <c r="D17" s="29"/>
      <c r="E17" s="30"/>
      <c r="F17" s="19">
        <v>0</v>
      </c>
      <c r="G17" s="19">
        <v>1000000</v>
      </c>
      <c r="H17" s="19">
        <f t="shared" si="0"/>
        <v>0</v>
      </c>
      <c r="I17" s="19"/>
      <c r="J17" s="31">
        <f t="shared" ref="J17:J21" si="4">11.5%*H17</f>
        <v>0</v>
      </c>
      <c r="K17" s="19">
        <f t="shared" si="2"/>
        <v>0</v>
      </c>
      <c r="L17" s="22"/>
      <c r="M17" s="22"/>
      <c r="N17" s="22"/>
      <c r="O17" s="22"/>
      <c r="P17" s="22"/>
      <c r="Q17" s="22"/>
      <c r="R17" s="23"/>
      <c r="U17" s="25"/>
      <c r="V17" s="25"/>
      <c r="W17" s="25"/>
    </row>
    <row r="18" spans="1:23" s="24" customFormat="1" ht="15.6" hidden="1" x14ac:dyDescent="0.35">
      <c r="A18" s="26">
        <f t="shared" si="3"/>
        <v>2</v>
      </c>
      <c r="B18" s="29">
        <v>522153</v>
      </c>
      <c r="C18" s="32" t="s">
        <v>24</v>
      </c>
      <c r="D18" s="29"/>
      <c r="E18" s="30"/>
      <c r="F18" s="19">
        <v>0</v>
      </c>
      <c r="G18" s="19">
        <v>900000</v>
      </c>
      <c r="H18" s="19">
        <f t="shared" si="0"/>
        <v>0</v>
      </c>
      <c r="I18" s="19"/>
      <c r="J18" s="31">
        <f t="shared" si="4"/>
        <v>0</v>
      </c>
      <c r="K18" s="19">
        <f t="shared" si="2"/>
        <v>0</v>
      </c>
      <c r="L18" s="22"/>
      <c r="M18" s="22"/>
      <c r="N18" s="22"/>
      <c r="O18" s="33"/>
      <c r="P18" s="33"/>
      <c r="Q18" s="22"/>
      <c r="R18" s="23"/>
      <c r="U18" s="25"/>
      <c r="V18" s="25"/>
      <c r="W18" s="25"/>
    </row>
    <row r="19" spans="1:23" s="24" customFormat="1" ht="15.6" hidden="1" x14ac:dyDescent="0.35">
      <c r="A19" s="26">
        <f t="shared" si="3"/>
        <v>3</v>
      </c>
      <c r="B19" s="29">
        <v>522154</v>
      </c>
      <c r="C19" s="32" t="s">
        <v>24</v>
      </c>
      <c r="D19" s="29"/>
      <c r="E19" s="30"/>
      <c r="F19" s="19">
        <v>0</v>
      </c>
      <c r="G19" s="19">
        <v>700000</v>
      </c>
      <c r="H19" s="19">
        <f t="shared" si="0"/>
        <v>0</v>
      </c>
      <c r="I19" s="19"/>
      <c r="J19" s="31">
        <f t="shared" si="4"/>
        <v>0</v>
      </c>
      <c r="K19" s="19">
        <f t="shared" si="2"/>
        <v>0</v>
      </c>
      <c r="L19" s="22"/>
      <c r="M19" s="22"/>
      <c r="N19" s="22"/>
      <c r="O19" s="22"/>
      <c r="P19" s="22"/>
      <c r="Q19" s="22"/>
      <c r="R19" s="23"/>
      <c r="U19" s="25"/>
      <c r="V19" s="25"/>
      <c r="W19" s="25"/>
    </row>
    <row r="20" spans="1:23" s="24" customFormat="1" ht="46.5" hidden="1" x14ac:dyDescent="0.35">
      <c r="A20" s="26">
        <f t="shared" si="3"/>
        <v>4</v>
      </c>
      <c r="B20" s="29">
        <v>524113</v>
      </c>
      <c r="C20" s="28" t="s">
        <v>25</v>
      </c>
      <c r="D20" s="29"/>
      <c r="E20" s="30"/>
      <c r="F20" s="19">
        <v>0</v>
      </c>
      <c r="G20" s="19">
        <v>150000</v>
      </c>
      <c r="H20" s="19">
        <f t="shared" si="0"/>
        <v>0</v>
      </c>
      <c r="I20" s="19"/>
      <c r="J20" s="31">
        <f t="shared" si="4"/>
        <v>0</v>
      </c>
      <c r="K20" s="19">
        <f t="shared" si="2"/>
        <v>0</v>
      </c>
      <c r="L20" s="22"/>
      <c r="M20" s="22"/>
      <c r="N20" s="22"/>
      <c r="O20" s="22"/>
      <c r="P20" s="22"/>
      <c r="Q20" s="22"/>
      <c r="R20" s="23"/>
      <c r="U20" s="25"/>
      <c r="V20" s="25"/>
      <c r="W20" s="25"/>
    </row>
    <row r="21" spans="1:23" s="24" customFormat="1" ht="62.1" hidden="1" x14ac:dyDescent="0.35">
      <c r="A21" s="26">
        <f t="shared" si="3"/>
        <v>5</v>
      </c>
      <c r="B21" s="29">
        <v>524114</v>
      </c>
      <c r="C21" s="28" t="s">
        <v>26</v>
      </c>
      <c r="D21" s="29"/>
      <c r="E21" s="30"/>
      <c r="F21" s="19">
        <v>0</v>
      </c>
      <c r="G21" s="19">
        <v>300000</v>
      </c>
      <c r="H21" s="19">
        <f t="shared" si="0"/>
        <v>0</v>
      </c>
      <c r="I21" s="19"/>
      <c r="J21" s="31">
        <f t="shared" si="4"/>
        <v>0</v>
      </c>
      <c r="K21" s="19">
        <f t="shared" si="2"/>
        <v>0</v>
      </c>
      <c r="L21" s="22"/>
      <c r="M21" s="22"/>
      <c r="N21" s="22"/>
      <c r="O21" s="22"/>
      <c r="P21" s="22"/>
      <c r="Q21" s="22"/>
      <c r="R21" s="34"/>
      <c r="U21" s="25"/>
      <c r="V21" s="25"/>
      <c r="W21" s="25"/>
    </row>
    <row r="22" spans="1:23" s="3" customFormat="1" ht="15.75" x14ac:dyDescent="0.25">
      <c r="A22" s="67" t="s">
        <v>27</v>
      </c>
      <c r="B22" s="68"/>
      <c r="C22" s="68"/>
      <c r="D22" s="68"/>
      <c r="E22" s="68"/>
      <c r="F22" s="68"/>
      <c r="G22" s="69"/>
      <c r="H22" s="35">
        <f>H13+H16</f>
        <v>0</v>
      </c>
      <c r="I22" s="35"/>
      <c r="J22" s="35">
        <f>J13+J16</f>
        <v>0</v>
      </c>
      <c r="K22" s="35">
        <f>K13+K16</f>
        <v>0</v>
      </c>
      <c r="L22" s="36"/>
      <c r="M22" s="36"/>
      <c r="N22" s="36"/>
      <c r="O22" s="36"/>
      <c r="P22" s="36"/>
      <c r="Q22" s="36"/>
      <c r="R22" s="37"/>
    </row>
    <row r="23" spans="1:23" s="42" customFormat="1" ht="20.100000000000001" customHeight="1" x14ac:dyDescent="0.25">
      <c r="A23" s="38"/>
      <c r="B23" s="38"/>
      <c r="C23" s="38"/>
      <c r="D23" s="38"/>
      <c r="E23" s="38"/>
      <c r="F23" s="39"/>
      <c r="G23" s="39"/>
      <c r="H23" s="40" t="s">
        <v>28</v>
      </c>
      <c r="I23" s="40"/>
      <c r="J23" s="40" t="s">
        <v>29</v>
      </c>
      <c r="K23" s="41"/>
      <c r="L23" s="39"/>
      <c r="M23" s="39"/>
      <c r="N23" s="39"/>
      <c r="O23" s="39"/>
      <c r="P23" s="39"/>
      <c r="Q23" s="39"/>
      <c r="R23" s="38"/>
    </row>
    <row r="24" spans="1:23" s="3" customFormat="1" ht="15.6" hidden="1" x14ac:dyDescent="0.35">
      <c r="A24" s="8" t="s">
        <v>30</v>
      </c>
      <c r="B24" s="43"/>
      <c r="C24" s="43"/>
      <c r="D24" s="43"/>
      <c r="E24" s="43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6"/>
    </row>
    <row r="25" spans="1:23" s="4" customFormat="1" ht="15.6" hidden="1" x14ac:dyDescent="0.35">
      <c r="A25" s="45" t="s">
        <v>31</v>
      </c>
      <c r="B25" s="4" t="s">
        <v>32</v>
      </c>
      <c r="C25" s="5"/>
      <c r="E25" s="5"/>
      <c r="G25" s="3"/>
      <c r="H25" s="3"/>
      <c r="I25" s="3"/>
      <c r="J25" s="3"/>
      <c r="K25" s="3"/>
      <c r="L25" s="44"/>
      <c r="M25" s="44"/>
      <c r="N25" s="44"/>
    </row>
    <row r="26" spans="1:23" s="4" customFormat="1" ht="15.6" hidden="1" x14ac:dyDescent="0.35">
      <c r="A26" s="46" t="s">
        <v>33</v>
      </c>
      <c r="B26" s="4" t="s">
        <v>34</v>
      </c>
      <c r="C26" s="5"/>
      <c r="E26" s="5"/>
      <c r="G26" s="3"/>
      <c r="H26" s="3"/>
      <c r="I26" s="3"/>
      <c r="J26" s="3"/>
      <c r="K26" s="3"/>
      <c r="L26" s="44"/>
      <c r="M26" s="44"/>
      <c r="N26" s="44"/>
    </row>
    <row r="27" spans="1:23" s="4" customFormat="1" ht="15.6" hidden="1" x14ac:dyDescent="0.35">
      <c r="A27" s="46" t="s">
        <v>35</v>
      </c>
      <c r="B27" s="4" t="s">
        <v>36</v>
      </c>
      <c r="C27" s="5"/>
      <c r="E27" s="5"/>
      <c r="G27" s="3"/>
      <c r="H27" s="3"/>
      <c r="I27" s="3"/>
      <c r="J27" s="3"/>
      <c r="K27" s="3"/>
      <c r="L27" s="44"/>
      <c r="M27" s="44"/>
      <c r="N27" s="44"/>
    </row>
    <row r="28" spans="1:23" s="4" customFormat="1" ht="12.75" hidden="1" customHeight="1" x14ac:dyDescent="0.35">
      <c r="A28" s="46" t="s">
        <v>37</v>
      </c>
      <c r="B28" s="47" t="s">
        <v>38</v>
      </c>
      <c r="C28" s="48"/>
      <c r="D28" s="49"/>
      <c r="E28" s="49"/>
      <c r="F28" s="50"/>
      <c r="G28" s="51"/>
      <c r="L28" s="9"/>
      <c r="M28" s="9"/>
      <c r="N28" s="9"/>
      <c r="O28" s="52"/>
      <c r="P28" s="52"/>
      <c r="Q28" s="53"/>
    </row>
    <row r="29" spans="1:23" s="4" customFormat="1" ht="15.6" hidden="1" x14ac:dyDescent="0.35">
      <c r="A29" s="46" t="s">
        <v>39</v>
      </c>
      <c r="B29" s="47" t="s">
        <v>40</v>
      </c>
      <c r="C29" s="48"/>
      <c r="D29" s="49"/>
      <c r="E29" s="49"/>
      <c r="F29" s="50"/>
      <c r="G29" s="51"/>
      <c r="H29" s="54"/>
      <c r="I29" s="54"/>
      <c r="J29" s="54"/>
      <c r="K29" s="54"/>
      <c r="L29" s="9"/>
      <c r="M29" s="9"/>
      <c r="N29" s="9"/>
      <c r="O29" s="52"/>
      <c r="P29" s="52"/>
      <c r="Q29" s="53"/>
    </row>
    <row r="30" spans="1:23" s="4" customFormat="1" ht="12" hidden="1" customHeight="1" x14ac:dyDescent="0.35">
      <c r="A30" s="45" t="s">
        <v>41</v>
      </c>
      <c r="B30" s="47" t="s">
        <v>42</v>
      </c>
      <c r="C30" s="55"/>
      <c r="D30" s="49"/>
      <c r="E30" s="49"/>
      <c r="F30" s="50"/>
      <c r="G30" s="51"/>
      <c r="H30" s="54"/>
      <c r="I30" s="54"/>
      <c r="J30" s="54"/>
      <c r="K30" s="54"/>
      <c r="L30" s="9"/>
      <c r="M30" s="9"/>
      <c r="N30" s="9"/>
      <c r="O30" s="52"/>
      <c r="P30" s="52"/>
      <c r="Q30" s="53"/>
    </row>
    <row r="31" spans="1:23" s="4" customFormat="1" ht="15.6" hidden="1" x14ac:dyDescent="0.35">
      <c r="A31" s="45" t="s">
        <v>43</v>
      </c>
      <c r="B31" s="9" t="s">
        <v>44</v>
      </c>
      <c r="C31" s="5"/>
      <c r="E31" s="56"/>
      <c r="F31" s="57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</row>
    <row r="32" spans="1:23" s="4" customFormat="1" ht="15.6" hidden="1" x14ac:dyDescent="0.35">
      <c r="A32" s="45" t="s">
        <v>45</v>
      </c>
      <c r="B32" s="4" t="s">
        <v>46</v>
      </c>
      <c r="C32" s="5"/>
      <c r="E32" s="56"/>
      <c r="F32" s="57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</row>
    <row r="33" spans="1:17" s="4" customFormat="1" ht="15.6" hidden="1" x14ac:dyDescent="0.35">
      <c r="A33" s="45" t="s">
        <v>47</v>
      </c>
      <c r="B33" s="4" t="s">
        <v>48</v>
      </c>
      <c r="C33" s="5"/>
      <c r="E33" s="56"/>
      <c r="F33" s="57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</row>
    <row r="34" spans="1:17" s="4" customFormat="1" ht="15" x14ac:dyDescent="0.2">
      <c r="B34" s="4" t="s">
        <v>65</v>
      </c>
      <c r="C34" s="5"/>
      <c r="E34" s="5"/>
    </row>
    <row r="35" spans="1:17" s="4" customFormat="1" ht="15" x14ac:dyDescent="0.2">
      <c r="B35" s="4" t="s">
        <v>66</v>
      </c>
      <c r="C35" s="5"/>
      <c r="E35" s="5"/>
    </row>
    <row r="36" spans="1:17" s="4" customFormat="1" ht="15" x14ac:dyDescent="0.2">
      <c r="C36" s="5"/>
      <c r="E36" s="5"/>
    </row>
    <row r="37" spans="1:17" s="4" customFormat="1" ht="15" x14ac:dyDescent="0.2">
      <c r="C37" s="5"/>
      <c r="E37" s="5"/>
    </row>
    <row r="38" spans="1:17" s="4" customFormat="1" ht="15" x14ac:dyDescent="0.2">
      <c r="C38" s="5"/>
      <c r="E38" s="5"/>
    </row>
    <row r="39" spans="1:17" s="4" customFormat="1" ht="15" x14ac:dyDescent="0.2">
      <c r="C39" s="5"/>
      <c r="E39" s="5"/>
    </row>
    <row r="40" spans="1:17" s="4" customFormat="1" ht="15" x14ac:dyDescent="0.2">
      <c r="C40" s="5"/>
      <c r="E40" s="5"/>
    </row>
    <row r="41" spans="1:17" s="4" customFormat="1" ht="15" x14ac:dyDescent="0.2">
      <c r="C41" s="5"/>
      <c r="E41" s="5"/>
    </row>
    <row r="42" spans="1:17" s="4" customFormat="1" ht="15" x14ac:dyDescent="0.2">
      <c r="C42" s="5"/>
      <c r="E42" s="5"/>
    </row>
    <row r="43" spans="1:17" s="4" customFormat="1" ht="15" x14ac:dyDescent="0.2">
      <c r="C43" s="5"/>
      <c r="E43" s="5"/>
    </row>
    <row r="44" spans="1:17" s="4" customFormat="1" ht="15" x14ac:dyDescent="0.2">
      <c r="C44" s="5"/>
      <c r="E44" s="5"/>
      <c r="N44" s="4" t="s">
        <v>57</v>
      </c>
    </row>
    <row r="45" spans="1:17" s="4" customFormat="1" ht="15" x14ac:dyDescent="0.2">
      <c r="B45" s="4" t="s">
        <v>49</v>
      </c>
      <c r="C45" s="5"/>
      <c r="E45" s="5"/>
      <c r="G45" s="4" t="s">
        <v>50</v>
      </c>
      <c r="N45" s="4" t="s">
        <v>51</v>
      </c>
    </row>
    <row r="46" spans="1:17" s="4" customFormat="1" ht="15" x14ac:dyDescent="0.2">
      <c r="B46" s="4" t="s">
        <v>58</v>
      </c>
      <c r="C46" s="5"/>
      <c r="E46" s="5"/>
      <c r="G46" s="4" t="s">
        <v>55</v>
      </c>
      <c r="N46" s="4" t="s">
        <v>52</v>
      </c>
    </row>
    <row r="47" spans="1:17" s="4" customFormat="1" ht="15" x14ac:dyDescent="0.2">
      <c r="B47" s="4" t="s">
        <v>53</v>
      </c>
      <c r="C47" s="5"/>
      <c r="E47" s="5"/>
      <c r="N47" s="4" t="s">
        <v>53</v>
      </c>
    </row>
    <row r="48" spans="1:17" s="4" customFormat="1" ht="15" x14ac:dyDescent="0.2">
      <c r="C48" s="5"/>
      <c r="E48" s="5"/>
    </row>
    <row r="49" spans="2:14" s="4" customFormat="1" ht="15" x14ac:dyDescent="0.2">
      <c r="C49" s="5"/>
      <c r="E49" s="5"/>
    </row>
    <row r="50" spans="2:14" s="4" customFormat="1" ht="15" x14ac:dyDescent="0.2">
      <c r="C50" s="5"/>
      <c r="E50" s="5"/>
    </row>
    <row r="51" spans="2:14" s="4" customFormat="1" ht="15" x14ac:dyDescent="0.2">
      <c r="C51" s="5"/>
      <c r="E51" s="5"/>
    </row>
    <row r="52" spans="2:14" s="4" customFormat="1" ht="15" x14ac:dyDescent="0.2">
      <c r="B52" s="4" t="s">
        <v>67</v>
      </c>
      <c r="C52" s="5"/>
      <c r="E52" s="5"/>
      <c r="G52" s="58" t="s">
        <v>56</v>
      </c>
      <c r="N52" s="4" t="s">
        <v>54</v>
      </c>
    </row>
    <row r="53" spans="2:14" s="4" customFormat="1" ht="15" x14ac:dyDescent="0.2">
      <c r="C53" s="5"/>
      <c r="E53" s="5"/>
    </row>
  </sheetData>
  <mergeCells count="15">
    <mergeCell ref="A22:G22"/>
    <mergeCell ref="A11:A12"/>
    <mergeCell ref="D11:E12"/>
    <mergeCell ref="F11:F12"/>
    <mergeCell ref="G11:G12"/>
    <mergeCell ref="A1:R1"/>
    <mergeCell ref="A2:R2"/>
    <mergeCell ref="A3:R3"/>
    <mergeCell ref="B11:C12"/>
    <mergeCell ref="I11:I12"/>
    <mergeCell ref="J11:J12"/>
    <mergeCell ref="K11:K12"/>
    <mergeCell ref="L11:Q11"/>
    <mergeCell ref="R11:R12"/>
    <mergeCell ref="H11:H12"/>
  </mergeCells>
  <printOptions horizontalCentered="1"/>
  <pageMargins left="0.19685039370078741" right="0.23622047244094491" top="0.74803149606299213" bottom="0.74803149606299213" header="0.31496062992125984" footer="0.31496062992125984"/>
  <pageSetup paperSize="9" scale="60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20260107 RAB Rapat 087B</vt:lpstr>
      <vt:lpstr>RAB Rapat Biasa APBN</vt:lpstr>
      <vt:lpstr>'20260107 RAB Rapat 087B'!Print_Area</vt:lpstr>
      <vt:lpstr>'RAB Rapat Biasa APBN'!Print_Area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BIRUM027</dc:creator>
  <cp:lastModifiedBy>IRMA ARDIANA</cp:lastModifiedBy>
  <cp:lastPrinted>2026-01-28T08:01:33Z</cp:lastPrinted>
  <dcterms:created xsi:type="dcterms:W3CDTF">2025-03-06T04:53:19Z</dcterms:created>
  <dcterms:modified xsi:type="dcterms:W3CDTF">2026-01-29T09:30:20Z</dcterms:modified>
</cp:coreProperties>
</file>